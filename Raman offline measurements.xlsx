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53C95545-C5DA-4DCD-B06E-2A146C3E0957}" xr6:coauthVersionLast="47" xr6:coauthVersionMax="47" xr10:uidLastSave="{00000000-0000-0000-0000-000000000000}"/>
  <bookViews>
    <workbookView xWindow="-23655" yWindow="1305" windowWidth="21600" windowHeight="11235" xr2:uid="{AA508DC2-3160-4F1B-9CF3-483579EB69EC}"/>
  </bookViews>
  <sheets>
    <sheet name="Reference V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C102" i="1"/>
  <c r="C101" i="1"/>
  <c r="C100" i="1"/>
  <c r="C99" i="1"/>
  <c r="C98" i="1"/>
  <c r="C97" i="1"/>
  <c r="C96" i="1"/>
  <c r="C95" i="1"/>
  <c r="C94" i="1"/>
  <c r="C93" i="1"/>
  <c r="C92" i="1"/>
  <c r="C81" i="1"/>
  <c r="C82" i="1"/>
  <c r="C83" i="1"/>
  <c r="C84" i="1"/>
  <c r="C85" i="1"/>
  <c r="C86" i="1"/>
  <c r="C87" i="1"/>
  <c r="C88" i="1"/>
  <c r="C89" i="1"/>
  <c r="C90" i="1"/>
  <c r="C91" i="1"/>
  <c r="C80" i="1"/>
  <c r="C72" i="1"/>
  <c r="C73" i="1"/>
  <c r="C74" i="1"/>
  <c r="C75" i="1"/>
  <c r="C76" i="1"/>
  <c r="C77" i="1"/>
  <c r="C78" i="1"/>
  <c r="C79" i="1"/>
  <c r="C71" i="1"/>
  <c r="C66" i="1"/>
  <c r="C67" i="1"/>
  <c r="C68" i="1"/>
  <c r="C69" i="1"/>
  <c r="C70" i="1"/>
  <c r="C59" i="1"/>
  <c r="C60" i="1"/>
  <c r="C61" i="1"/>
  <c r="C62" i="1"/>
  <c r="C63" i="1"/>
  <c r="C64" i="1"/>
  <c r="C65" i="1"/>
  <c r="C58" i="1"/>
  <c r="C50" i="1"/>
  <c r="C51" i="1"/>
  <c r="C52" i="1"/>
  <c r="C53" i="1"/>
  <c r="C54" i="1"/>
  <c r="C55" i="1"/>
  <c r="C56" i="1"/>
  <c r="C57" i="1"/>
  <c r="C49" i="1"/>
  <c r="C39" i="1"/>
  <c r="C40" i="1"/>
  <c r="C41" i="1"/>
  <c r="C42" i="1"/>
  <c r="C43" i="1"/>
  <c r="C44" i="1"/>
  <c r="C45" i="1"/>
  <c r="C46" i="1"/>
  <c r="C47" i="1"/>
  <c r="C48" i="1"/>
  <c r="C38" i="1"/>
  <c r="C30" i="1"/>
  <c r="C31" i="1"/>
  <c r="C32" i="1"/>
  <c r="C33" i="1"/>
  <c r="C34" i="1"/>
  <c r="C35" i="1"/>
  <c r="C36" i="1"/>
  <c r="C37" i="1"/>
  <c r="C29" i="1"/>
  <c r="C23" i="1"/>
  <c r="C24" i="1"/>
  <c r="C25" i="1"/>
  <c r="C26" i="1"/>
  <c r="C27" i="1"/>
  <c r="C28" i="1"/>
  <c r="C22" i="1"/>
  <c r="C16" i="1"/>
  <c r="C17" i="1"/>
  <c r="C18" i="1"/>
  <c r="C19" i="1"/>
  <c r="C20" i="1"/>
  <c r="C21" i="1"/>
  <c r="C15" i="1"/>
  <c r="C9" i="1"/>
  <c r="C10" i="1"/>
  <c r="C11" i="1"/>
  <c r="C12" i="1"/>
  <c r="C13" i="1"/>
  <c r="C14" i="1"/>
  <c r="C8" i="1"/>
  <c r="C3" i="1"/>
  <c r="C4" i="1"/>
  <c r="C5" i="1"/>
  <c r="C6" i="1"/>
  <c r="C7" i="1"/>
  <c r="C2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<sst xmlns="http://schemas.openxmlformats.org/spreadsheetml/2006/main" count="111" uniqueCount="21">
  <si>
    <t>batch_id</t>
  </si>
  <si>
    <t>time</t>
  </si>
  <si>
    <t>batch_time_h</t>
  </si>
  <si>
    <t>acetate_mM</t>
  </si>
  <si>
    <t>glucose_g_L</t>
  </si>
  <si>
    <t>mg_mM</t>
  </si>
  <si>
    <t>nh3_mM</t>
  </si>
  <si>
    <t>phosphate_mM</t>
  </si>
  <si>
    <t>titer_mg_mL</t>
  </si>
  <si>
    <t>210923 run 1</t>
  </si>
  <si>
    <t>210927 run 2</t>
  </si>
  <si>
    <t>210929 run 3</t>
  </si>
  <si>
    <t>210930 run 4</t>
  </si>
  <si>
    <t>211005 run 5</t>
  </si>
  <si>
    <t>211006 run 6</t>
  </si>
  <si>
    <t>211007 run 7</t>
  </si>
  <si>
    <t>211011 run 8</t>
  </si>
  <si>
    <t>211012 run 9</t>
  </si>
  <si>
    <t>211013 run 10</t>
  </si>
  <si>
    <t>211014 run 11</t>
  </si>
  <si>
    <t>solution_type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</si>
</sst>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Raman%208166%201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 procedures"/>
      <sheetName val="UV PLATE INPUT"/>
      <sheetName val="CALCULATIONS"/>
      <sheetName val="Data Review"/>
      <sheetName val="SUMMARY"/>
    </sheetNames>
    <sheetDataSet>
      <sheetData sheetId="0"/>
      <sheetData sheetId="1"/>
      <sheetData sheetId="2"/>
      <sheetData sheetId="3"/>
      <sheetData sheetId="4">
        <row r="12">
          <cell r="C12">
            <v>3.8785325034964941E-3</v>
          </cell>
          <cell r="D12">
            <v>0.10430690040559437</v>
          </cell>
          <cell r="E12">
            <v>0.21411130033566431</v>
          </cell>
          <cell r="F12">
            <v>0.29686497432167819</v>
          </cell>
          <cell r="G12">
            <v>0.32904048795804203</v>
          </cell>
          <cell r="H12">
            <v>0.45503455809790205</v>
          </cell>
        </row>
        <row r="13">
          <cell r="C13">
            <v>3.063225370629365E-3</v>
          </cell>
          <cell r="D13">
            <v>0.10669458558041951</v>
          </cell>
          <cell r="E13">
            <v>0.21955638725874124</v>
          </cell>
          <cell r="F13">
            <v>0.30528010865734256</v>
          </cell>
          <cell r="G13">
            <v>0.3319522991468532</v>
          </cell>
          <cell r="H13">
            <v>0.46362440110489522</v>
          </cell>
        </row>
        <row r="14">
          <cell r="C14">
            <v>1.1705480979020886E-3</v>
          </cell>
          <cell r="D14">
            <v>0.21839166278321678</v>
          </cell>
          <cell r="E14">
            <v>0.36826258467132844</v>
          </cell>
          <cell r="F14">
            <v>0.50153618278321654</v>
          </cell>
          <cell r="G14">
            <v>0.52870338117482529</v>
          </cell>
          <cell r="H14">
            <v>0.56684810774825156</v>
          </cell>
          <cell r="I14">
            <v>0.54425245292307711</v>
          </cell>
        </row>
        <row r="15">
          <cell r="C15">
            <v>3.7329419440559316E-3</v>
          </cell>
          <cell r="D15">
            <v>0.21722693830769238</v>
          </cell>
          <cell r="E15">
            <v>0.37629918355244757</v>
          </cell>
          <cell r="F15">
            <v>0.46781740921678305</v>
          </cell>
          <cell r="G15">
            <v>0.52893632606993035</v>
          </cell>
          <cell r="H15">
            <v>0.55787972928671303</v>
          </cell>
          <cell r="I15">
            <v>0.5488531146013983</v>
          </cell>
        </row>
        <row r="16">
          <cell r="C16">
            <v>4.5482490769230676E-3</v>
          </cell>
          <cell r="D16">
            <v>4.9215432713286676E-2</v>
          </cell>
          <cell r="E16">
            <v>0.10308393970629376</v>
          </cell>
          <cell r="F16">
            <v>0.20665706369230755</v>
          </cell>
          <cell r="G16">
            <v>0.25176101900699271</v>
          </cell>
          <cell r="H16">
            <v>0.32481836173426581</v>
          </cell>
          <cell r="I16">
            <v>0.46688562963636365</v>
          </cell>
        </row>
        <row r="17">
          <cell r="C17">
            <v>6.2079814545454451E-3</v>
          </cell>
          <cell r="D17">
            <v>5.0176330405594417E-2</v>
          </cell>
          <cell r="E17">
            <v>0.10288011292307689</v>
          </cell>
          <cell r="F17">
            <v>0.21218950495104891</v>
          </cell>
          <cell r="G17">
            <v>0.24882008970629368</v>
          </cell>
          <cell r="H17">
            <v>0.32205214110489527</v>
          </cell>
          <cell r="I17">
            <v>0.49332487523076901</v>
          </cell>
        </row>
        <row r="18">
          <cell r="C18">
            <v>2.6264536923076864E-3</v>
          </cell>
          <cell r="D18">
            <v>6.9336048027971997E-2</v>
          </cell>
          <cell r="E18">
            <v>0.11805064921678317</v>
          </cell>
          <cell r="F18">
            <v>0.14370370579020977</v>
          </cell>
          <cell r="G18">
            <v>0.17340417991608381</v>
          </cell>
          <cell r="H18">
            <v>0.23056303355244759</v>
          </cell>
          <cell r="J18">
            <v>0.33742650418181808</v>
          </cell>
        </row>
        <row r="19">
          <cell r="C19">
            <v>1.9567371188811129E-3</v>
          </cell>
          <cell r="D19">
            <v>6.9860174041958045E-2</v>
          </cell>
          <cell r="E19">
            <v>0.11985597215384605</v>
          </cell>
          <cell r="F19">
            <v>0.14125778439160844</v>
          </cell>
          <cell r="G19">
            <v>0.17756806991608376</v>
          </cell>
          <cell r="H19">
            <v>0.23778432530069921</v>
          </cell>
          <cell r="J19">
            <v>0.33792151208391596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9A8D-6665-4E7E-83C8-E5D403A8FC00}">
  <dimension ref="A1:J102"/>
  <sheetViews>
    <sheetView tabSelected="1" topLeftCell="A85" workbookViewId="0">
      <selection activeCell="K95" sqref="K95"/>
    </sheetView>
  </sheetViews>
  <sheetFormatPr defaultRowHeight="15" x14ac:dyDescent="0.25"/>
  <cols>
    <col min="1" max="1" width="13.7109375" style="3" customWidth="1"/>
    <col min="2" max="2" width="15.7109375" style="3" bestFit="1" customWidth="1"/>
    <col min="3" max="4" width="11.5703125" style="3" customWidth="1"/>
    <col min="6" max="6" width="11.7109375" customWidth="1"/>
    <col min="7" max="7" width="11.140625" customWidth="1"/>
    <col min="8" max="8" width="11.285156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20</v>
      </c>
      <c r="E1" t="s">
        <v>8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s="3" t="s">
        <v>9</v>
      </c>
      <c r="B2" s="4">
        <v>44462.397974537038</v>
      </c>
      <c r="C2" s="3">
        <f>(B2-$B$2)*24</f>
        <v>0</v>
      </c>
      <c r="D2" s="3">
        <v>1</v>
      </c>
      <c r="E2" s="1">
        <f>AVERAGE([1]SUMMARY!$C$12:$C$13)</f>
        <v>3.4708789370629296E-3</v>
      </c>
      <c r="F2" s="2">
        <v>36.659999999999997</v>
      </c>
      <c r="G2">
        <v>0.02</v>
      </c>
      <c r="H2" s="2">
        <v>12.494999999999999</v>
      </c>
      <c r="I2" s="2">
        <v>21.79</v>
      </c>
      <c r="J2" s="2">
        <v>12.99</v>
      </c>
    </row>
    <row r="3" spans="1:10" x14ac:dyDescent="0.25">
      <c r="A3" s="3" t="s">
        <v>9</v>
      </c>
      <c r="B3" s="4">
        <v>44462.460451388892</v>
      </c>
      <c r="C3" s="3">
        <f t="shared" ref="C3:C7" si="0">(B3-$B$2)*24</f>
        <v>1.4994444444891997</v>
      </c>
      <c r="D3" s="3">
        <v>1</v>
      </c>
      <c r="E3" s="1">
        <f>AVERAGE([1]SUMMARY!$D$12:$D$13)</f>
        <v>0.10550074299300694</v>
      </c>
      <c r="F3" s="2">
        <v>60.97</v>
      </c>
      <c r="G3" s="3">
        <v>0.02</v>
      </c>
      <c r="H3" s="2">
        <v>11.743</v>
      </c>
      <c r="I3" s="2">
        <v>24.31</v>
      </c>
      <c r="J3" s="2">
        <v>15.03</v>
      </c>
    </row>
    <row r="4" spans="1:10" x14ac:dyDescent="0.25">
      <c r="A4" s="3" t="s">
        <v>9</v>
      </c>
      <c r="B4" s="4">
        <v>44462.554201388892</v>
      </c>
      <c r="C4" s="3">
        <f t="shared" si="0"/>
        <v>3.7494444444891997</v>
      </c>
      <c r="D4" s="3">
        <v>1</v>
      </c>
      <c r="E4" s="1">
        <f>AVERAGE([1]SUMMARY!$E$12:$E$13)</f>
        <v>0.21683384379720277</v>
      </c>
      <c r="F4" s="2">
        <v>68</v>
      </c>
      <c r="G4" s="3">
        <v>0.02</v>
      </c>
      <c r="H4" s="2">
        <v>11.893000000000001</v>
      </c>
      <c r="I4" s="2">
        <v>29.94</v>
      </c>
      <c r="J4" s="2">
        <v>15.96</v>
      </c>
    </row>
    <row r="5" spans="1:10" x14ac:dyDescent="0.25">
      <c r="A5" s="3" t="s">
        <v>9</v>
      </c>
      <c r="B5" s="4">
        <v>44462.627118055556</v>
      </c>
      <c r="C5" s="3">
        <f t="shared" si="0"/>
        <v>5.499444444430992</v>
      </c>
      <c r="D5" s="3">
        <v>1</v>
      </c>
      <c r="E5" s="1">
        <f>AVERAGE([1]SUMMARY!$F$12:$F$13)</f>
        <v>0.30107254148951035</v>
      </c>
      <c r="F5" s="2">
        <v>72.010000000000005</v>
      </c>
      <c r="G5" s="3">
        <v>0.02</v>
      </c>
      <c r="H5" s="2">
        <v>11.973000000000001</v>
      </c>
      <c r="I5" s="2">
        <v>35.450000000000003</v>
      </c>
      <c r="J5" s="2">
        <v>15.78</v>
      </c>
    </row>
    <row r="6" spans="1:10" x14ac:dyDescent="0.25">
      <c r="A6" s="3" t="s">
        <v>9</v>
      </c>
      <c r="B6" s="4">
        <v>44462.679201388892</v>
      </c>
      <c r="C6" s="3">
        <f t="shared" si="0"/>
        <v>6.7494444444891997</v>
      </c>
      <c r="D6" s="3">
        <v>1</v>
      </c>
      <c r="E6" s="1">
        <f>AVERAGE([1]SUMMARY!$G$12:$G$13)</f>
        <v>0.33049639355244764</v>
      </c>
      <c r="F6" s="2">
        <v>78.86</v>
      </c>
      <c r="G6" s="3">
        <v>0.02</v>
      </c>
      <c r="H6" s="2">
        <v>12.438000000000001</v>
      </c>
      <c r="I6" s="2">
        <v>39.81</v>
      </c>
      <c r="J6" s="2">
        <v>17.13</v>
      </c>
    </row>
    <row r="7" spans="1:10" x14ac:dyDescent="0.25">
      <c r="A7" s="3" t="s">
        <v>9</v>
      </c>
      <c r="B7" s="4">
        <v>44463.377118055556</v>
      </c>
      <c r="C7" s="3">
        <f t="shared" si="0"/>
        <v>23.499444444430992</v>
      </c>
      <c r="D7" s="3">
        <v>1</v>
      </c>
      <c r="E7" s="1">
        <f>AVERAGE([1]SUMMARY!$H$12:$H$13)</f>
        <v>0.45932947960139864</v>
      </c>
      <c r="F7" s="2">
        <v>37.43</v>
      </c>
      <c r="G7" s="2">
        <v>6.0999999999999999E-2</v>
      </c>
      <c r="H7" s="2">
        <v>9.8979999999999997</v>
      </c>
      <c r="I7" s="2">
        <v>80.53</v>
      </c>
      <c r="J7" s="2">
        <v>17.7</v>
      </c>
    </row>
    <row r="8" spans="1:10" x14ac:dyDescent="0.25">
      <c r="A8" s="3" t="s">
        <v>10</v>
      </c>
      <c r="B8" s="4">
        <v>44466.766493055555</v>
      </c>
      <c r="C8" s="3">
        <f>(B8-$B$8)*24</f>
        <v>0</v>
      </c>
      <c r="D8" s="3">
        <v>1</v>
      </c>
      <c r="E8" s="1">
        <f>AVERAGE([1]SUMMARY!$C$14:$C$15)</f>
        <v>2.4517450209790102E-3</v>
      </c>
      <c r="F8" s="2">
        <v>33.630000000000003</v>
      </c>
      <c r="G8" s="3">
        <v>0.02</v>
      </c>
      <c r="H8" s="2">
        <v>12.583</v>
      </c>
      <c r="I8" s="2">
        <v>21.14</v>
      </c>
      <c r="J8" s="2">
        <v>13.2</v>
      </c>
    </row>
    <row r="9" spans="1:10" x14ac:dyDescent="0.25">
      <c r="A9" s="3" t="s">
        <v>10</v>
      </c>
      <c r="B9" s="4">
        <v>44466.912199074075</v>
      </c>
      <c r="C9" s="3">
        <f t="shared" ref="C9:C14" si="1">(B9-$B$8)*24</f>
        <v>3.4969444444868714</v>
      </c>
      <c r="D9" s="3">
        <v>1</v>
      </c>
      <c r="E9" s="1">
        <f>AVERAGE([1]SUMMARY!$D$14:$D$15)</f>
        <v>0.21780930054545458</v>
      </c>
      <c r="F9" s="2">
        <v>65.540000000000006</v>
      </c>
      <c r="G9" s="3">
        <v>0.02</v>
      </c>
      <c r="H9" s="2">
        <v>12.077999999999999</v>
      </c>
      <c r="I9" s="2">
        <v>27.66</v>
      </c>
      <c r="J9" s="2">
        <v>16.13</v>
      </c>
    </row>
    <row r="10" spans="1:10" x14ac:dyDescent="0.25">
      <c r="A10" s="3" t="s">
        <v>10</v>
      </c>
      <c r="B10" s="4">
        <v>44467.037199074075</v>
      </c>
      <c r="C10" s="3">
        <f t="shared" si="1"/>
        <v>6.4969444444868714</v>
      </c>
      <c r="D10" s="3">
        <v>1</v>
      </c>
      <c r="E10" s="1">
        <f>AVERAGE([1]SUMMARY!$E$14:$E$15)</f>
        <v>0.37228088411188798</v>
      </c>
      <c r="F10" s="2">
        <v>72.459999999999994</v>
      </c>
      <c r="G10" s="3">
        <v>0.02</v>
      </c>
      <c r="H10" s="2">
        <v>12.11</v>
      </c>
      <c r="I10" s="2">
        <v>36.44</v>
      </c>
      <c r="J10" s="2">
        <v>16.489999999999998</v>
      </c>
    </row>
    <row r="11" spans="1:10" x14ac:dyDescent="0.25">
      <c r="A11" s="3" t="s">
        <v>10</v>
      </c>
      <c r="B11" s="4">
        <v>44467.162199074075</v>
      </c>
      <c r="C11" s="3">
        <f t="shared" si="1"/>
        <v>9.4969444444868714</v>
      </c>
      <c r="D11" s="3">
        <v>1</v>
      </c>
      <c r="E11" s="1">
        <f>AVERAGE([1]SUMMARY!$F$14:$F$15)</f>
        <v>0.4846767959999998</v>
      </c>
      <c r="F11" s="2">
        <v>80.260000000000005</v>
      </c>
      <c r="G11" s="3">
        <v>0.02</v>
      </c>
      <c r="H11" s="2">
        <v>12.307</v>
      </c>
      <c r="I11" s="2">
        <v>41.74</v>
      </c>
      <c r="J11" s="2">
        <v>16.39</v>
      </c>
    </row>
    <row r="12" spans="1:10" x14ac:dyDescent="0.25">
      <c r="A12" s="3" t="s">
        <v>10</v>
      </c>
      <c r="B12" s="4">
        <v>44467.245532407411</v>
      </c>
      <c r="C12" s="3">
        <f t="shared" si="1"/>
        <v>11.496944444545079</v>
      </c>
      <c r="D12" s="3">
        <v>1</v>
      </c>
      <c r="E12" s="1">
        <f>AVERAGE([1]SUMMARY!$G$14:$G$15)</f>
        <v>0.52881985362237782</v>
      </c>
      <c r="F12" s="2">
        <v>84.8</v>
      </c>
      <c r="G12" s="3">
        <v>0.02</v>
      </c>
      <c r="H12" s="2">
        <v>12.329000000000001</v>
      </c>
      <c r="I12" s="2">
        <v>46.22</v>
      </c>
      <c r="J12" s="2">
        <v>16.559999999999999</v>
      </c>
    </row>
    <row r="13" spans="1:10" x14ac:dyDescent="0.25">
      <c r="A13" s="3" t="s">
        <v>10</v>
      </c>
      <c r="B13" s="4">
        <v>44467.308032407411</v>
      </c>
      <c r="C13" s="3">
        <f t="shared" si="1"/>
        <v>12.996944444545079</v>
      </c>
      <c r="D13" s="3">
        <v>1</v>
      </c>
      <c r="E13" s="1">
        <f>AVERAGE([1]SUMMARY!$H$14:$H$15)</f>
        <v>0.56236391851748224</v>
      </c>
      <c r="F13" s="2">
        <v>89.06</v>
      </c>
      <c r="G13" s="3">
        <v>0.02</v>
      </c>
      <c r="H13" s="2">
        <v>12.472</v>
      </c>
      <c r="I13" s="2">
        <v>50.84</v>
      </c>
      <c r="J13" s="2">
        <v>16.61</v>
      </c>
    </row>
    <row r="14" spans="1:10" x14ac:dyDescent="0.25">
      <c r="A14" s="3" t="s">
        <v>10</v>
      </c>
      <c r="B14" s="4">
        <v>44467.464282407411</v>
      </c>
      <c r="C14" s="3">
        <f t="shared" si="1"/>
        <v>16.746944444545079</v>
      </c>
      <c r="D14" s="3">
        <v>1</v>
      </c>
      <c r="E14" s="1">
        <f>AVERAGE([1]SUMMARY!$I$14:$I$15)</f>
        <v>0.5465527837622377</v>
      </c>
      <c r="F14" s="2">
        <v>88.24</v>
      </c>
      <c r="G14" s="2">
        <v>2.9000000000000001E-2</v>
      </c>
      <c r="H14" s="2">
        <v>5.0949999999999998</v>
      </c>
      <c r="I14" s="2">
        <v>51.42</v>
      </c>
      <c r="J14" s="2">
        <v>9.68</v>
      </c>
    </row>
    <row r="15" spans="1:10" x14ac:dyDescent="0.25">
      <c r="A15" s="3" t="s">
        <v>11</v>
      </c>
      <c r="B15" s="4">
        <v>44468.538668981484</v>
      </c>
      <c r="C15" s="3">
        <f>(B15-$B$15)*24</f>
        <v>0</v>
      </c>
      <c r="D15" s="3">
        <v>1</v>
      </c>
      <c r="E15" s="1">
        <f>AVERAGE([1]SUMMARY!$C$16:$C$17)</f>
        <v>5.3781152657342568E-3</v>
      </c>
      <c r="F15">
        <v>33.409999999999997</v>
      </c>
      <c r="G15" s="3">
        <v>0.02</v>
      </c>
      <c r="H15" s="2">
        <v>12.659000000000001</v>
      </c>
      <c r="I15" s="2">
        <v>21.68</v>
      </c>
      <c r="J15" s="2">
        <v>13.75</v>
      </c>
    </row>
    <row r="16" spans="1:10" x14ac:dyDescent="0.25">
      <c r="A16" s="3" t="s">
        <v>11</v>
      </c>
      <c r="B16" s="4">
        <v>44468.580335648148</v>
      </c>
      <c r="C16" s="3">
        <f t="shared" ref="C16:C21" si="2">(B16-$B$15)*24</f>
        <v>0.99999999994179234</v>
      </c>
      <c r="D16" s="3">
        <v>1</v>
      </c>
      <c r="E16" s="1">
        <f>AVERAGE([1]SUMMARY!$D$16:$D$17)</f>
        <v>4.9695881559440547E-2</v>
      </c>
      <c r="F16" s="2">
        <v>61.88</v>
      </c>
      <c r="G16" s="3">
        <v>0.02</v>
      </c>
      <c r="H16" s="2">
        <v>12.175000000000001</v>
      </c>
      <c r="I16" s="2">
        <v>21.86</v>
      </c>
      <c r="J16" s="2">
        <v>15.48</v>
      </c>
    </row>
    <row r="17" spans="1:10" x14ac:dyDescent="0.25">
      <c r="A17" s="3" t="s">
        <v>11</v>
      </c>
      <c r="B17" s="4">
        <v>44468.611574074072</v>
      </c>
      <c r="C17" s="3">
        <f t="shared" si="2"/>
        <v>1.7497222220990807</v>
      </c>
      <c r="D17" s="3">
        <v>1</v>
      </c>
      <c r="E17" s="1">
        <f>AVERAGE([1]SUMMARY!$E$16:$E$17)</f>
        <v>0.10298202631468532</v>
      </c>
      <c r="F17" s="2">
        <v>62.66</v>
      </c>
      <c r="G17" s="3">
        <v>0.02</v>
      </c>
      <c r="H17" s="2">
        <v>12.301</v>
      </c>
      <c r="I17" s="2">
        <v>22.81</v>
      </c>
      <c r="J17" s="2">
        <v>16.010000000000002</v>
      </c>
    </row>
    <row r="18" spans="1:10" x14ac:dyDescent="0.25">
      <c r="A18" s="3" t="s">
        <v>11</v>
      </c>
      <c r="B18" s="4">
        <v>44468.705324074072</v>
      </c>
      <c r="C18" s="3">
        <f t="shared" si="2"/>
        <v>3.9997222220990807</v>
      </c>
      <c r="D18" s="3">
        <v>1</v>
      </c>
      <c r="E18" s="1">
        <f>AVERAGE([1]SUMMARY!$F$16:$F$17)</f>
        <v>0.20942328432167823</v>
      </c>
      <c r="F18" s="2">
        <v>67.97</v>
      </c>
      <c r="G18" s="3">
        <v>0.02</v>
      </c>
      <c r="H18" s="2">
        <v>12.442</v>
      </c>
      <c r="I18" s="2">
        <v>28.98</v>
      </c>
      <c r="J18" s="2">
        <v>16.920000000000002</v>
      </c>
    </row>
    <row r="19" spans="1:10" x14ac:dyDescent="0.25">
      <c r="A19" s="3" t="s">
        <v>11</v>
      </c>
      <c r="B19" s="4">
        <v>44468.757407407407</v>
      </c>
      <c r="C19" s="3">
        <f t="shared" si="2"/>
        <v>5.2497222221572883</v>
      </c>
      <c r="D19" s="3">
        <v>1</v>
      </c>
      <c r="E19" s="1">
        <f>AVERAGE([1]SUMMARY!$G$16:$G$17)</f>
        <v>0.25029055435664321</v>
      </c>
      <c r="F19" s="2">
        <v>73.260000000000005</v>
      </c>
      <c r="G19" s="3">
        <v>0.02</v>
      </c>
      <c r="H19" s="2">
        <v>12.568</v>
      </c>
      <c r="I19" s="2">
        <v>31.96</v>
      </c>
      <c r="J19" s="2">
        <v>16.75</v>
      </c>
    </row>
    <row r="20" spans="1:10" x14ac:dyDescent="0.25">
      <c r="A20" s="3" t="s">
        <v>11</v>
      </c>
      <c r="B20" s="4">
        <v>44468.840740740743</v>
      </c>
      <c r="C20" s="3">
        <f t="shared" si="2"/>
        <v>7.249722222215496</v>
      </c>
      <c r="D20" s="3">
        <v>1</v>
      </c>
      <c r="E20" s="1">
        <f>AVERAGE([1]SUMMARY!$H$16:$H$17)</f>
        <v>0.32343525141958052</v>
      </c>
      <c r="F20" s="2">
        <v>77.260000000000005</v>
      </c>
      <c r="G20" s="3">
        <v>0.02</v>
      </c>
      <c r="H20" s="2">
        <v>12.693</v>
      </c>
      <c r="I20" s="2">
        <v>35.15</v>
      </c>
      <c r="J20" s="2">
        <v>17.04</v>
      </c>
    </row>
    <row r="21" spans="1:10" x14ac:dyDescent="0.25">
      <c r="A21" s="3" t="s">
        <v>11</v>
      </c>
      <c r="B21" s="4">
        <v>44469.444907407407</v>
      </c>
      <c r="C21" s="3">
        <f t="shared" si="2"/>
        <v>21.749722222157288</v>
      </c>
      <c r="D21" s="3">
        <v>1</v>
      </c>
      <c r="E21" s="1">
        <f>AVERAGE([1]SUMMARY!$I$16:$I$17)</f>
        <v>0.48010525243356633</v>
      </c>
      <c r="F21" s="2">
        <v>93.82</v>
      </c>
      <c r="G21" s="2">
        <v>2.3E-2</v>
      </c>
      <c r="H21" s="2">
        <v>6.0019999999999998</v>
      </c>
      <c r="I21" s="2">
        <v>65.33</v>
      </c>
      <c r="J21" s="2">
        <v>11.3</v>
      </c>
    </row>
    <row r="22" spans="1:10" x14ac:dyDescent="0.25">
      <c r="A22" s="3" t="s">
        <v>12</v>
      </c>
      <c r="B22" s="4">
        <v>44469.582650462966</v>
      </c>
      <c r="C22" s="3">
        <f>(B22-$B$22)*24</f>
        <v>0</v>
      </c>
      <c r="D22" s="3">
        <v>2</v>
      </c>
      <c r="E22" s="1">
        <f>AVERAGE([1]SUMMARY!$C$18:$C$19)</f>
        <v>2.2915954055943996E-3</v>
      </c>
      <c r="F22" s="2">
        <v>30.93</v>
      </c>
      <c r="G22" s="2">
        <v>0.61399999999999999</v>
      </c>
      <c r="H22" s="2">
        <v>12.156000000000001</v>
      </c>
      <c r="I22" s="2">
        <v>19.16</v>
      </c>
      <c r="J22" s="2">
        <v>9.39</v>
      </c>
    </row>
    <row r="23" spans="1:10" x14ac:dyDescent="0.25">
      <c r="A23" s="3" t="s">
        <v>12</v>
      </c>
      <c r="B23" s="4">
        <v>44469.634710648148</v>
      </c>
      <c r="C23" s="3">
        <f t="shared" ref="C23:C28" si="3">(B23-$B$22)*24</f>
        <v>1.2494444443727843</v>
      </c>
      <c r="D23" s="3">
        <v>2</v>
      </c>
      <c r="E23" s="1">
        <f>AVERAGE([1]SUMMARY!$D$18:$D$19)</f>
        <v>6.9598111034965021E-2</v>
      </c>
      <c r="F23" s="2">
        <v>37.97</v>
      </c>
      <c r="G23" s="2">
        <v>0.91200000000000003</v>
      </c>
      <c r="H23" s="2">
        <v>11.936</v>
      </c>
      <c r="I23" s="2">
        <v>17.91</v>
      </c>
      <c r="J23" s="2">
        <v>8.2799999999999994</v>
      </c>
    </row>
    <row r="24" spans="1:10" x14ac:dyDescent="0.25">
      <c r="A24" s="3" t="s">
        <v>12</v>
      </c>
      <c r="B24" s="4">
        <v>44469.686793981484</v>
      </c>
      <c r="C24" s="3">
        <f t="shared" si="3"/>
        <v>2.499444444430992</v>
      </c>
      <c r="D24" s="3">
        <v>2</v>
      </c>
      <c r="E24" s="1">
        <f>AVERAGE([1]SUMMARY!$E$18:$E$19)</f>
        <v>0.11895331068531462</v>
      </c>
      <c r="F24" s="2">
        <v>58.66</v>
      </c>
      <c r="G24" s="2">
        <v>1.2</v>
      </c>
      <c r="H24" s="2">
        <v>11.959</v>
      </c>
      <c r="I24" s="2">
        <v>19.45</v>
      </c>
      <c r="J24" s="2">
        <v>8.99</v>
      </c>
    </row>
    <row r="25" spans="1:10" x14ac:dyDescent="0.25">
      <c r="A25" s="3" t="s">
        <v>12</v>
      </c>
      <c r="B25" s="4">
        <v>44469.718043981484</v>
      </c>
      <c r="C25" s="3">
        <f t="shared" si="3"/>
        <v>3.249444444430992</v>
      </c>
      <c r="D25" s="3">
        <v>2</v>
      </c>
      <c r="E25" s="1">
        <f>AVERAGE([1]SUMMARY!$F$18:$F$19)</f>
        <v>0.14248074509090911</v>
      </c>
      <c r="F25" s="2">
        <v>63.83</v>
      </c>
      <c r="G25" s="2">
        <v>1.42</v>
      </c>
      <c r="H25" s="2">
        <v>11.932</v>
      </c>
      <c r="I25" s="2">
        <v>21.04</v>
      </c>
      <c r="J25" s="2">
        <v>8.35</v>
      </c>
    </row>
    <row r="26" spans="1:10" x14ac:dyDescent="0.25">
      <c r="A26" s="3" t="s">
        <v>12</v>
      </c>
      <c r="B26" s="4">
        <v>44469.759710648148</v>
      </c>
      <c r="C26" s="3">
        <f t="shared" si="3"/>
        <v>4.2494444443727843</v>
      </c>
      <c r="D26" s="3">
        <v>2</v>
      </c>
      <c r="E26" s="1">
        <f>AVERAGE([1]SUMMARY!$G$18:$G$19)</f>
        <v>0.17548612491608379</v>
      </c>
      <c r="F26" s="2">
        <v>68.8</v>
      </c>
      <c r="G26" s="2">
        <v>1.7190000000000001</v>
      </c>
      <c r="H26" s="2">
        <v>12.266999999999999</v>
      </c>
      <c r="I26" s="2">
        <v>22.17</v>
      </c>
      <c r="J26" s="2">
        <v>8.99</v>
      </c>
    </row>
    <row r="27" spans="1:10" x14ac:dyDescent="0.25">
      <c r="A27" s="3" t="s">
        <v>12</v>
      </c>
      <c r="B27" s="4">
        <v>44469.863877314812</v>
      </c>
      <c r="C27" s="3">
        <f t="shared" si="3"/>
        <v>6.7494444443145767</v>
      </c>
      <c r="D27" s="3">
        <v>2</v>
      </c>
      <c r="E27" s="1">
        <f>AVERAGE([1]SUMMARY!$H$18:$H$19)</f>
        <v>0.23417367942657341</v>
      </c>
      <c r="F27" s="2">
        <v>77.38</v>
      </c>
      <c r="G27" s="2">
        <v>1.978</v>
      </c>
      <c r="H27" s="2">
        <v>12.225</v>
      </c>
      <c r="I27" s="2">
        <v>23.9</v>
      </c>
      <c r="J27" s="2">
        <v>9.1199999999999992</v>
      </c>
    </row>
    <row r="28" spans="1:10" x14ac:dyDescent="0.25">
      <c r="A28" s="3" t="s">
        <v>12</v>
      </c>
      <c r="B28" s="4">
        <v>44470.436793981484</v>
      </c>
      <c r="C28" s="3">
        <f t="shared" si="3"/>
        <v>20.499444444430992</v>
      </c>
      <c r="D28" s="3">
        <v>2</v>
      </c>
      <c r="E28" s="1">
        <f>AVERAGE([1]SUMMARY!$J$18:$J$19)</f>
        <v>0.33767400813286702</v>
      </c>
      <c r="F28" s="2">
        <v>107.15</v>
      </c>
      <c r="G28" s="2">
        <v>2.6</v>
      </c>
      <c r="H28" s="2">
        <v>8.9529999999999994</v>
      </c>
      <c r="I28" s="2">
        <v>27.65</v>
      </c>
      <c r="J28" s="2">
        <v>9.86</v>
      </c>
    </row>
    <row r="29" spans="1:10" x14ac:dyDescent="0.25">
      <c r="A29" s="3" t="s">
        <v>13</v>
      </c>
      <c r="B29" s="4">
        <v>44474.5934837963</v>
      </c>
      <c r="C29" s="3">
        <f>(B29-$B$29)*24</f>
        <v>0</v>
      </c>
      <c r="D29" s="3">
        <v>2</v>
      </c>
      <c r="E29" s="1">
        <v>3.1651387622377526E-3</v>
      </c>
      <c r="F29" s="2">
        <v>30.01</v>
      </c>
      <c r="G29" s="2">
        <v>0.71699999999999997</v>
      </c>
      <c r="H29" s="2">
        <v>12.151</v>
      </c>
      <c r="I29" s="2">
        <v>18.329999999999998</v>
      </c>
      <c r="J29" s="2">
        <v>12.98</v>
      </c>
    </row>
    <row r="30" spans="1:10" x14ac:dyDescent="0.25">
      <c r="A30" s="3" t="s">
        <v>13</v>
      </c>
      <c r="B30" s="4">
        <v>44474.614282407405</v>
      </c>
      <c r="C30" s="3">
        <f t="shared" ref="C30:C37" si="4">(B30-$B$29)*24</f>
        <v>0.49916666653007269</v>
      </c>
      <c r="D30" s="3">
        <v>2</v>
      </c>
      <c r="E30" s="1">
        <v>3.5291151608391564E-3</v>
      </c>
      <c r="F30" s="2">
        <v>34.9</v>
      </c>
      <c r="G30" s="2">
        <v>0.89200000000000002</v>
      </c>
      <c r="H30" s="2">
        <v>12.231999999999999</v>
      </c>
      <c r="I30" s="2">
        <v>17.8</v>
      </c>
      <c r="J30" s="2">
        <v>6.81</v>
      </c>
    </row>
    <row r="31" spans="1:10" x14ac:dyDescent="0.25">
      <c r="A31" s="3" t="s">
        <v>13</v>
      </c>
      <c r="B31" s="4">
        <v>44474.635115740741</v>
      </c>
      <c r="C31" s="3">
        <f t="shared" si="4"/>
        <v>0.99916666658828035</v>
      </c>
      <c r="D31" s="3">
        <v>2</v>
      </c>
      <c r="E31" s="1">
        <v>1.4550320510489503E-2</v>
      </c>
      <c r="F31" s="2">
        <v>36.979999999999997</v>
      </c>
      <c r="G31" s="2">
        <v>1.165</v>
      </c>
      <c r="H31" s="2">
        <v>11.847</v>
      </c>
      <c r="I31" s="2">
        <v>18.41</v>
      </c>
      <c r="J31" s="2">
        <v>6.47</v>
      </c>
    </row>
    <row r="32" spans="1:10" x14ac:dyDescent="0.25">
      <c r="A32" s="3" t="s">
        <v>13</v>
      </c>
      <c r="B32" s="4">
        <v>44474.655949074076</v>
      </c>
      <c r="C32" s="3">
        <f t="shared" si="4"/>
        <v>1.499166666646488</v>
      </c>
      <c r="D32" s="3">
        <v>2</v>
      </c>
      <c r="E32" s="1">
        <v>4.0305290475524488E-2</v>
      </c>
      <c r="F32" s="2">
        <v>38.93</v>
      </c>
      <c r="G32" s="2">
        <v>1.458</v>
      </c>
      <c r="H32" s="2">
        <v>12.003</v>
      </c>
      <c r="I32" s="2">
        <v>18.29</v>
      </c>
      <c r="J32" s="2">
        <v>7.24</v>
      </c>
    </row>
    <row r="33" spans="1:10" x14ac:dyDescent="0.25">
      <c r="A33" s="3" t="s">
        <v>13</v>
      </c>
      <c r="B33" s="4">
        <v>44474.676782407405</v>
      </c>
      <c r="C33" s="3">
        <f t="shared" si="4"/>
        <v>1.9991666665300727</v>
      </c>
      <c r="D33" s="3">
        <v>2</v>
      </c>
      <c r="E33" s="1">
        <v>6.4953772188811126E-2</v>
      </c>
      <c r="F33" s="2">
        <v>62.26</v>
      </c>
      <c r="G33" s="2">
        <v>1.7989999999999999</v>
      </c>
      <c r="H33" s="2">
        <v>11.91</v>
      </c>
      <c r="I33" s="2">
        <v>19.22</v>
      </c>
      <c r="J33" s="2">
        <v>7.58</v>
      </c>
    </row>
    <row r="34" spans="1:10" x14ac:dyDescent="0.25">
      <c r="A34" s="3" t="s">
        <v>13</v>
      </c>
      <c r="B34" s="4">
        <v>44474.708032407405</v>
      </c>
      <c r="C34" s="3">
        <f t="shared" si="4"/>
        <v>2.7491666665300727</v>
      </c>
      <c r="D34" s="3">
        <v>2</v>
      </c>
      <c r="E34" s="1">
        <v>9.7886356734265739E-2</v>
      </c>
      <c r="F34" s="2">
        <v>65.209999999999994</v>
      </c>
      <c r="G34" s="2">
        <v>1.9410000000000001</v>
      </c>
      <c r="H34" s="2">
        <v>11.791</v>
      </c>
      <c r="I34" s="2">
        <v>19.420000000000002</v>
      </c>
      <c r="J34" s="2">
        <v>7.78</v>
      </c>
    </row>
    <row r="35" spans="1:10" x14ac:dyDescent="0.25">
      <c r="A35" s="3" t="s">
        <v>13</v>
      </c>
      <c r="B35" s="4">
        <v>44474.739282407405</v>
      </c>
      <c r="C35" s="3">
        <f t="shared" si="4"/>
        <v>3.4991666665300727</v>
      </c>
      <c r="D35" s="3">
        <v>2</v>
      </c>
      <c r="E35" s="1">
        <v>0.12659681505594406</v>
      </c>
      <c r="F35" s="2">
        <v>75.069999999999993</v>
      </c>
      <c r="G35" s="2">
        <v>2.4300000000000002</v>
      </c>
      <c r="H35" s="2">
        <v>12.223000000000001</v>
      </c>
      <c r="I35" s="2">
        <v>20.81</v>
      </c>
      <c r="J35" s="2">
        <v>8.33</v>
      </c>
    </row>
    <row r="36" spans="1:10" x14ac:dyDescent="0.25">
      <c r="A36" s="3" t="s">
        <v>13</v>
      </c>
      <c r="B36" s="4">
        <v>44474.812199074076</v>
      </c>
      <c r="C36" s="3">
        <f t="shared" si="4"/>
        <v>5.249166666646488</v>
      </c>
      <c r="D36" s="3">
        <v>2</v>
      </c>
      <c r="E36" s="1">
        <v>0.19289875582517479</v>
      </c>
      <c r="F36" s="2">
        <v>79.48</v>
      </c>
      <c r="G36" s="2">
        <v>2.5030000000000001</v>
      </c>
      <c r="H36" s="2">
        <v>11.956</v>
      </c>
      <c r="I36" s="2">
        <v>22.44</v>
      </c>
      <c r="J36" s="2">
        <v>9.35</v>
      </c>
    </row>
    <row r="37" spans="1:10" x14ac:dyDescent="0.25">
      <c r="A37" s="3" t="s">
        <v>13</v>
      </c>
      <c r="B37" s="4">
        <v>44475.426782407405</v>
      </c>
      <c r="C37" s="3">
        <f t="shared" si="4"/>
        <v>19.999166666530073</v>
      </c>
      <c r="D37" s="3">
        <v>2</v>
      </c>
      <c r="E37" s="1">
        <v>0.32857459816783219</v>
      </c>
      <c r="F37" s="2">
        <v>120.05</v>
      </c>
      <c r="G37" s="2">
        <v>2.9860000000000002</v>
      </c>
      <c r="H37" s="2">
        <v>10.507999999999999</v>
      </c>
      <c r="I37" s="2">
        <v>38.729999999999997</v>
      </c>
      <c r="J37" s="2">
        <v>11.48</v>
      </c>
    </row>
    <row r="38" spans="1:10" x14ac:dyDescent="0.25">
      <c r="A38" s="3" t="s">
        <v>14</v>
      </c>
      <c r="B38" s="4">
        <v>44475.498541666668</v>
      </c>
      <c r="C38" s="3">
        <f>(B38-$B$38)*24</f>
        <v>0</v>
      </c>
      <c r="D38" s="3">
        <v>2</v>
      </c>
      <c r="E38" s="1">
        <v>3.7135298694638635E-3</v>
      </c>
      <c r="F38" s="2">
        <v>29.72</v>
      </c>
      <c r="G38" s="2">
        <v>0.77600000000000002</v>
      </c>
      <c r="H38" s="2">
        <v>12.413</v>
      </c>
      <c r="I38" s="2">
        <v>18.559999999999999</v>
      </c>
      <c r="J38" s="2">
        <v>12.35</v>
      </c>
    </row>
    <row r="39" spans="1:10" x14ac:dyDescent="0.25">
      <c r="A39" s="3" t="s">
        <v>14</v>
      </c>
      <c r="B39" s="4">
        <v>44475.508935185186</v>
      </c>
      <c r="C39" s="3">
        <f t="shared" ref="C39:C48" si="5">(B39-$B$38)*24</f>
        <v>0.24944444443099201</v>
      </c>
      <c r="D39" s="3">
        <v>2</v>
      </c>
      <c r="E39" s="1">
        <v>4.7326637855477777E-3</v>
      </c>
      <c r="F39" s="2">
        <v>32.9</v>
      </c>
      <c r="G39" s="2">
        <v>0.97799999999999998</v>
      </c>
      <c r="H39" s="2">
        <v>12.117000000000001</v>
      </c>
      <c r="I39" s="2">
        <v>18.68</v>
      </c>
      <c r="J39" s="2">
        <v>7.1</v>
      </c>
    </row>
    <row r="40" spans="1:10" x14ac:dyDescent="0.25">
      <c r="A40" s="3" t="s">
        <v>14</v>
      </c>
      <c r="B40" s="4">
        <v>44475.529768518521</v>
      </c>
      <c r="C40" s="3">
        <f t="shared" si="5"/>
        <v>0.74944444448919967</v>
      </c>
      <c r="D40" s="3">
        <v>2</v>
      </c>
      <c r="E40" s="1">
        <v>2.3145016536130519E-2</v>
      </c>
      <c r="F40" s="2">
        <v>36.65</v>
      </c>
      <c r="G40" s="2">
        <v>1.3640000000000001</v>
      </c>
      <c r="H40" s="2">
        <v>11.734</v>
      </c>
      <c r="I40" s="2">
        <v>18.440000000000001</v>
      </c>
      <c r="J40" s="2">
        <v>7.56</v>
      </c>
    </row>
    <row r="41" spans="1:10" x14ac:dyDescent="0.25">
      <c r="A41" s="3" t="s">
        <v>14</v>
      </c>
      <c r="B41" s="4">
        <v>44475.55060185185</v>
      </c>
      <c r="C41" s="3">
        <f t="shared" si="5"/>
        <v>1.2494444443727843</v>
      </c>
      <c r="D41" s="3">
        <v>2</v>
      </c>
      <c r="E41" s="1">
        <v>5.3990803062937048E-2</v>
      </c>
      <c r="F41" s="2">
        <v>65.12</v>
      </c>
      <c r="G41" s="2">
        <v>1.597</v>
      </c>
      <c r="H41" s="2">
        <v>11.71</v>
      </c>
      <c r="I41" s="2">
        <v>19.52</v>
      </c>
      <c r="J41" s="2">
        <v>9.1999999999999993</v>
      </c>
    </row>
    <row r="42" spans="1:10" x14ac:dyDescent="0.25">
      <c r="A42" s="3" t="s">
        <v>14</v>
      </c>
      <c r="B42" s="4">
        <v>44475.61310185185</v>
      </c>
      <c r="C42" s="3">
        <f t="shared" si="5"/>
        <v>2.7494444443727843</v>
      </c>
      <c r="D42" s="3">
        <v>2</v>
      </c>
      <c r="E42" s="1">
        <v>0.11778858620979021</v>
      </c>
      <c r="F42" s="2">
        <v>38.78</v>
      </c>
      <c r="G42" s="2">
        <v>1.889</v>
      </c>
      <c r="H42" s="2">
        <v>11.867000000000001</v>
      </c>
      <c r="I42" s="2">
        <v>18.53</v>
      </c>
      <c r="J42" s="2">
        <v>8.24</v>
      </c>
    </row>
    <row r="43" spans="1:10" x14ac:dyDescent="0.25">
      <c r="A43" s="3" t="s">
        <v>14</v>
      </c>
      <c r="B43" s="4">
        <v>44475.665185185186</v>
      </c>
      <c r="C43" s="3">
        <f t="shared" si="5"/>
        <v>3.999444444430992</v>
      </c>
      <c r="D43" s="3">
        <v>2</v>
      </c>
      <c r="E43" s="1">
        <v>0.16965764951981346</v>
      </c>
      <c r="F43" s="2">
        <v>73.58</v>
      </c>
      <c r="G43" s="2">
        <v>2.1139999999999999</v>
      </c>
      <c r="H43" s="2">
        <v>12.177</v>
      </c>
      <c r="I43" s="2">
        <v>21.43</v>
      </c>
      <c r="J43" s="2">
        <v>9.74</v>
      </c>
    </row>
    <row r="44" spans="1:10" x14ac:dyDescent="0.25">
      <c r="A44" s="3" t="s">
        <v>14</v>
      </c>
      <c r="B44" s="4">
        <v>44475.70685185185</v>
      </c>
      <c r="C44" s="3">
        <f t="shared" si="5"/>
        <v>4.9994444443727843</v>
      </c>
      <c r="D44" s="3">
        <v>2</v>
      </c>
      <c r="E44" s="1">
        <v>0.20907386697902083</v>
      </c>
      <c r="F44" s="2">
        <v>77.34</v>
      </c>
      <c r="G44" s="2">
        <v>2.3959999999999999</v>
      </c>
      <c r="H44" s="2">
        <v>12.124000000000001</v>
      </c>
      <c r="I44" s="2">
        <v>21.88</v>
      </c>
      <c r="J44" s="2">
        <v>9.92</v>
      </c>
    </row>
    <row r="45" spans="1:10" x14ac:dyDescent="0.25">
      <c r="A45" s="3" t="s">
        <v>14</v>
      </c>
      <c r="B45" s="4">
        <v>44475.748518518521</v>
      </c>
      <c r="C45" s="3">
        <f t="shared" si="5"/>
        <v>5.9994444444891997</v>
      </c>
      <c r="D45" s="3">
        <v>2</v>
      </c>
      <c r="E45" s="1">
        <v>0.23327101795804187</v>
      </c>
      <c r="F45" s="2">
        <v>80.72</v>
      </c>
      <c r="G45" s="2">
        <v>2.6110000000000002</v>
      </c>
      <c r="H45" s="2">
        <v>12.281000000000001</v>
      </c>
      <c r="I45" s="2">
        <v>23.42</v>
      </c>
      <c r="J45" s="2">
        <v>10.210000000000001</v>
      </c>
    </row>
    <row r="46" spans="1:10" x14ac:dyDescent="0.25">
      <c r="A46" s="3" t="s">
        <v>14</v>
      </c>
      <c r="B46" s="4">
        <v>44475.779768518521</v>
      </c>
      <c r="C46" s="3">
        <f t="shared" si="5"/>
        <v>6.7494444444891997</v>
      </c>
      <c r="D46" s="3">
        <v>2</v>
      </c>
      <c r="E46" s="1">
        <v>0.25110100847086247</v>
      </c>
      <c r="F46" s="2">
        <v>83.39</v>
      </c>
      <c r="G46" s="2">
        <v>2.7610000000000001</v>
      </c>
      <c r="H46" s="2">
        <v>12.217000000000001</v>
      </c>
      <c r="I46" s="2">
        <v>23.64</v>
      </c>
      <c r="J46" s="2">
        <v>10.37</v>
      </c>
    </row>
    <row r="47" spans="1:10" x14ac:dyDescent="0.25">
      <c r="A47" s="3" t="s">
        <v>14</v>
      </c>
      <c r="B47" s="4">
        <v>44475.790185185186</v>
      </c>
      <c r="C47" s="3">
        <f t="shared" si="5"/>
        <v>6.999444444430992</v>
      </c>
      <c r="D47" s="3">
        <v>2</v>
      </c>
      <c r="E47" s="1">
        <v>0.26603859986946382</v>
      </c>
      <c r="F47" s="2">
        <v>82.34</v>
      </c>
      <c r="G47" s="2">
        <v>2.9020000000000001</v>
      </c>
      <c r="H47" s="2">
        <v>11.927</v>
      </c>
      <c r="I47" s="2">
        <v>24.75</v>
      </c>
      <c r="J47" s="2">
        <v>10.130000000000001</v>
      </c>
    </row>
    <row r="48" spans="1:10" x14ac:dyDescent="0.25">
      <c r="A48" s="3" t="s">
        <v>14</v>
      </c>
      <c r="B48" s="4">
        <v>44476.39435185185</v>
      </c>
      <c r="C48" s="3">
        <f t="shared" si="5"/>
        <v>21.499444444372784</v>
      </c>
      <c r="D48" s="3">
        <v>2</v>
      </c>
      <c r="E48" s="1">
        <v>0.2999612002191141</v>
      </c>
      <c r="F48" s="2">
        <v>167.3</v>
      </c>
      <c r="G48" s="2">
        <v>2.7360000000000002</v>
      </c>
      <c r="H48" s="2">
        <v>8.5440000000000005</v>
      </c>
      <c r="I48" s="2">
        <v>63.31</v>
      </c>
      <c r="J48" s="2">
        <v>13.66</v>
      </c>
    </row>
    <row r="49" spans="1:10" x14ac:dyDescent="0.25">
      <c r="A49" s="3" t="s">
        <v>15</v>
      </c>
      <c r="B49" s="4">
        <v>44476.597025462965</v>
      </c>
      <c r="C49" s="3">
        <f>(B49-$B$49)*24</f>
        <v>0</v>
      </c>
      <c r="D49" s="3">
        <v>2</v>
      </c>
      <c r="E49" s="1">
        <v>5.0238449044288959E-3</v>
      </c>
      <c r="F49" s="2">
        <v>30.32</v>
      </c>
      <c r="G49" s="2">
        <v>0.79700000000000004</v>
      </c>
      <c r="H49" s="2">
        <v>12.041</v>
      </c>
      <c r="I49" s="2">
        <v>18.46</v>
      </c>
      <c r="J49" s="2">
        <v>13.4</v>
      </c>
    </row>
    <row r="50" spans="1:10" x14ac:dyDescent="0.25">
      <c r="A50" s="3" t="s">
        <v>15</v>
      </c>
      <c r="B50" s="4">
        <v>44476.617858796293</v>
      </c>
      <c r="C50" s="3">
        <f t="shared" ref="C50:C57" si="6">(B50-$B$49)*24</f>
        <v>0.49999999988358468</v>
      </c>
      <c r="D50" s="3">
        <v>2</v>
      </c>
      <c r="E50" s="1">
        <v>7.4309421538461444E-3</v>
      </c>
      <c r="F50" s="2">
        <v>34.74</v>
      </c>
      <c r="G50" s="2">
        <v>0.95299999999999996</v>
      </c>
      <c r="H50" s="2">
        <v>12.067</v>
      </c>
      <c r="I50" s="2">
        <v>18.760000000000002</v>
      </c>
      <c r="J50" s="2">
        <v>6.67</v>
      </c>
    </row>
    <row r="51" spans="1:10" x14ac:dyDescent="0.25">
      <c r="A51" s="3" t="s">
        <v>15</v>
      </c>
      <c r="B51" s="4">
        <v>44476.649108796293</v>
      </c>
      <c r="C51" s="3">
        <f t="shared" si="6"/>
        <v>1.2499999998835847</v>
      </c>
      <c r="D51" s="3">
        <v>2</v>
      </c>
      <c r="E51" s="1">
        <v>3.5219326932400895E-2</v>
      </c>
      <c r="F51" s="2">
        <v>37.86</v>
      </c>
      <c r="G51" s="2">
        <v>1.379</v>
      </c>
      <c r="H51" s="2">
        <v>11.936</v>
      </c>
      <c r="I51" s="2">
        <v>18.45</v>
      </c>
      <c r="J51" s="2">
        <v>7.67</v>
      </c>
    </row>
    <row r="52" spans="1:10" x14ac:dyDescent="0.25">
      <c r="A52" s="3" t="s">
        <v>15</v>
      </c>
      <c r="B52" s="4">
        <v>44476.659525462965</v>
      </c>
      <c r="C52" s="3">
        <f t="shared" si="6"/>
        <v>1.5</v>
      </c>
      <c r="D52" s="3">
        <v>2</v>
      </c>
      <c r="E52" s="1">
        <v>5.4029627212121158E-2</v>
      </c>
      <c r="F52" s="2">
        <v>59.15</v>
      </c>
      <c r="G52" s="2">
        <v>1.6220000000000001</v>
      </c>
      <c r="H52" s="2">
        <v>11.93</v>
      </c>
      <c r="I52" s="2">
        <v>18.63</v>
      </c>
      <c r="J52" s="2">
        <v>7.62</v>
      </c>
    </row>
    <row r="53" spans="1:10" x14ac:dyDescent="0.25">
      <c r="A53" s="3" t="s">
        <v>15</v>
      </c>
      <c r="B53" s="4">
        <v>44476.690775462965</v>
      </c>
      <c r="C53" s="3">
        <f t="shared" si="6"/>
        <v>2.25</v>
      </c>
      <c r="D53" s="3">
        <v>2</v>
      </c>
      <c r="E53" s="1">
        <v>9.1184337981351948E-2</v>
      </c>
      <c r="F53" s="2">
        <v>61.19</v>
      </c>
      <c r="G53" s="2">
        <v>1.8260000000000001</v>
      </c>
      <c r="H53" s="2">
        <v>11.989000000000001</v>
      </c>
      <c r="I53" s="2">
        <v>19.809999999999999</v>
      </c>
      <c r="J53" s="2">
        <v>7.73</v>
      </c>
    </row>
    <row r="54" spans="1:10" x14ac:dyDescent="0.25">
      <c r="A54" s="3" t="s">
        <v>15</v>
      </c>
      <c r="B54" s="4">
        <v>44476.722025462965</v>
      </c>
      <c r="C54" s="3">
        <f t="shared" si="6"/>
        <v>3</v>
      </c>
      <c r="D54" s="3">
        <v>2</v>
      </c>
      <c r="E54" s="1">
        <v>0.11808947336596737</v>
      </c>
      <c r="F54" s="2">
        <v>64.489999999999995</v>
      </c>
      <c r="G54" s="2">
        <v>2.0680000000000001</v>
      </c>
      <c r="H54" s="2">
        <v>12.221</v>
      </c>
      <c r="I54" s="2">
        <v>19.27</v>
      </c>
      <c r="J54" s="2">
        <v>7.93</v>
      </c>
    </row>
    <row r="55" spans="1:10" x14ac:dyDescent="0.25">
      <c r="A55" s="3" t="s">
        <v>15</v>
      </c>
      <c r="B55" s="4">
        <v>44476.742858796293</v>
      </c>
      <c r="C55" s="3">
        <f t="shared" si="6"/>
        <v>3.4999999998835847</v>
      </c>
      <c r="D55" s="3">
        <v>2</v>
      </c>
      <c r="E55" s="1">
        <v>0.13589034576689971</v>
      </c>
      <c r="F55" s="2">
        <v>69.25</v>
      </c>
      <c r="G55" s="2">
        <v>2.5030000000000001</v>
      </c>
      <c r="H55" s="2">
        <v>12.167999999999999</v>
      </c>
      <c r="I55" s="2">
        <v>20.57</v>
      </c>
      <c r="J55" s="2">
        <v>8.07</v>
      </c>
    </row>
    <row r="56" spans="1:10" x14ac:dyDescent="0.25">
      <c r="A56" s="3" t="s">
        <v>15</v>
      </c>
      <c r="B56" s="4">
        <v>44476.763692129629</v>
      </c>
      <c r="C56" s="3">
        <f t="shared" si="6"/>
        <v>3.9999999999417923</v>
      </c>
      <c r="D56" s="3">
        <v>2</v>
      </c>
      <c r="E56" s="1">
        <v>0.15773863572027969</v>
      </c>
      <c r="F56" s="2">
        <v>70.97</v>
      </c>
      <c r="G56" s="2">
        <v>2.6640000000000001</v>
      </c>
      <c r="H56" s="2">
        <v>12.311999999999999</v>
      </c>
      <c r="I56" s="2">
        <v>21.24</v>
      </c>
      <c r="J56" s="2">
        <v>8.15</v>
      </c>
    </row>
    <row r="57" spans="1:10" x14ac:dyDescent="0.25">
      <c r="A57" s="3" t="s">
        <v>15</v>
      </c>
      <c r="B57" s="4">
        <v>44477.399108796293</v>
      </c>
      <c r="C57" s="3">
        <f t="shared" si="6"/>
        <v>19.249999999883585</v>
      </c>
      <c r="D57" s="3">
        <v>2</v>
      </c>
      <c r="E57" s="1">
        <v>0.24613151737529135</v>
      </c>
      <c r="F57" s="2">
        <v>137.85</v>
      </c>
      <c r="G57" s="2">
        <v>2.8260000000000001</v>
      </c>
      <c r="H57" s="2">
        <v>6.3559999999999999</v>
      </c>
      <c r="I57" s="2">
        <v>46.41</v>
      </c>
      <c r="J57" s="2">
        <v>10.67</v>
      </c>
    </row>
    <row r="58" spans="1:10" x14ac:dyDescent="0.25">
      <c r="A58" s="3" t="s">
        <v>16</v>
      </c>
      <c r="B58" s="4">
        <v>44480.508796296293</v>
      </c>
      <c r="C58" s="3">
        <f>(B58-$B$58)*24</f>
        <v>0</v>
      </c>
      <c r="D58" s="3">
        <v>3</v>
      </c>
      <c r="E58" s="1">
        <v>2.2042410699300618E-3</v>
      </c>
      <c r="F58" s="2">
        <v>30.93</v>
      </c>
      <c r="G58" s="2">
        <v>0.89</v>
      </c>
      <c r="H58" s="2">
        <v>12.137</v>
      </c>
      <c r="I58" s="2">
        <v>18.829999999999998</v>
      </c>
      <c r="J58" s="2">
        <v>10.18</v>
      </c>
    </row>
    <row r="59" spans="1:10" x14ac:dyDescent="0.25">
      <c r="A59" s="3" t="s">
        <v>16</v>
      </c>
      <c r="B59" s="4">
        <v>44480.519212962965</v>
      </c>
      <c r="C59" s="3">
        <f t="shared" ref="C59:C70" si="7">(B59-$B$58)*24</f>
        <v>0.25000000011641532</v>
      </c>
      <c r="D59" s="3">
        <v>3</v>
      </c>
      <c r="E59" s="1">
        <v>3.0777844265734182E-3</v>
      </c>
      <c r="F59" s="2">
        <v>35.22</v>
      </c>
      <c r="G59" s="2">
        <v>1.137</v>
      </c>
      <c r="H59" s="2">
        <v>12.02</v>
      </c>
      <c r="I59" s="2">
        <v>18.579999999999998</v>
      </c>
      <c r="J59" s="2">
        <v>6.01</v>
      </c>
    </row>
    <row r="60" spans="1:10" x14ac:dyDescent="0.25">
      <c r="A60" s="3" t="s">
        <v>16</v>
      </c>
      <c r="B60" s="4">
        <v>44480.550462962965</v>
      </c>
      <c r="C60" s="3">
        <f t="shared" si="7"/>
        <v>1.0000000001164153</v>
      </c>
      <c r="D60" s="3">
        <v>3</v>
      </c>
      <c r="E60" s="1">
        <v>2.5920943202797177E-2</v>
      </c>
      <c r="F60" s="2">
        <v>37.880000000000003</v>
      </c>
      <c r="G60" s="2">
        <v>1.464</v>
      </c>
      <c r="H60" s="2">
        <v>11.952999999999999</v>
      </c>
      <c r="I60" s="2">
        <v>18.809999999999999</v>
      </c>
      <c r="J60" s="2">
        <v>7.78</v>
      </c>
    </row>
    <row r="61" spans="1:10" x14ac:dyDescent="0.25">
      <c r="A61" s="3" t="s">
        <v>16</v>
      </c>
      <c r="B61" s="4">
        <v>44480.571296296293</v>
      </c>
      <c r="C61" s="3">
        <f t="shared" si="7"/>
        <v>1.5</v>
      </c>
      <c r="D61" s="3">
        <v>3</v>
      </c>
      <c r="E61" s="1">
        <v>4.4935070265734227E-2</v>
      </c>
      <c r="F61" s="2">
        <v>59.86</v>
      </c>
      <c r="G61" s="2">
        <v>1.635</v>
      </c>
      <c r="H61" s="2">
        <v>12.186</v>
      </c>
      <c r="I61" s="2">
        <v>19.559999999999999</v>
      </c>
      <c r="J61" s="2">
        <v>9.0299999999999994</v>
      </c>
    </row>
    <row r="62" spans="1:10" x14ac:dyDescent="0.25">
      <c r="A62" s="3" t="s">
        <v>16</v>
      </c>
      <c r="B62" s="4">
        <v>44480.591666666667</v>
      </c>
      <c r="C62" s="3">
        <f t="shared" si="7"/>
        <v>1.9888888889690861</v>
      </c>
      <c r="D62" s="3">
        <v>3</v>
      </c>
      <c r="E62" s="1">
        <v>6.3963756384615378E-2</v>
      </c>
      <c r="F62" s="2">
        <v>63.66</v>
      </c>
      <c r="G62" s="2">
        <v>1.9750000000000001</v>
      </c>
      <c r="H62" s="2">
        <v>11.977</v>
      </c>
      <c r="I62" s="2">
        <v>20.22</v>
      </c>
      <c r="J62" s="2">
        <v>8.93</v>
      </c>
    </row>
    <row r="63" spans="1:10" x14ac:dyDescent="0.25">
      <c r="A63" s="3" t="s">
        <v>16</v>
      </c>
      <c r="B63" s="4">
        <v>44480.612500000003</v>
      </c>
      <c r="C63" s="3">
        <f t="shared" si="7"/>
        <v>2.4888888890272938</v>
      </c>
      <c r="D63" s="3">
        <v>3</v>
      </c>
      <c r="E63" s="1">
        <v>7.4533630999999989E-2</v>
      </c>
      <c r="F63" s="2">
        <v>66.86</v>
      </c>
      <c r="G63" s="2">
        <v>2.149</v>
      </c>
      <c r="H63" s="2">
        <v>12.032</v>
      </c>
      <c r="I63" s="2">
        <v>21.07</v>
      </c>
      <c r="J63" s="2">
        <v>9.06</v>
      </c>
    </row>
    <row r="64" spans="1:10" x14ac:dyDescent="0.25">
      <c r="A64" s="3" t="s">
        <v>16</v>
      </c>
      <c r="B64" s="4">
        <v>44480.643750000003</v>
      </c>
      <c r="C64" s="3">
        <f t="shared" si="7"/>
        <v>3.2388888890272938</v>
      </c>
      <c r="D64" s="3">
        <v>3</v>
      </c>
      <c r="E64" s="1">
        <v>8.5351009566433489E-2</v>
      </c>
      <c r="F64" s="2">
        <v>70.599999999999994</v>
      </c>
      <c r="G64" s="2">
        <v>2.6230000000000002</v>
      </c>
      <c r="H64" s="2">
        <v>12.24</v>
      </c>
      <c r="I64" s="2">
        <v>22.09</v>
      </c>
      <c r="J64" s="2">
        <v>9.34</v>
      </c>
    </row>
    <row r="65" spans="1:10" x14ac:dyDescent="0.25">
      <c r="A65" s="3" t="s">
        <v>16</v>
      </c>
      <c r="B65" s="4">
        <v>44480.664583333331</v>
      </c>
      <c r="C65" s="3">
        <f t="shared" si="7"/>
        <v>3.7388888889108784</v>
      </c>
      <c r="D65" s="3">
        <v>3</v>
      </c>
      <c r="E65" s="1">
        <v>8.8131789251748263E-2</v>
      </c>
      <c r="F65" s="2">
        <v>75.459999999999994</v>
      </c>
      <c r="G65" s="2">
        <v>2.746</v>
      </c>
      <c r="H65" s="2">
        <v>12.266</v>
      </c>
      <c r="I65" s="2">
        <v>23.15</v>
      </c>
      <c r="J65" s="2">
        <v>9.25</v>
      </c>
    </row>
    <row r="66" spans="1:10" x14ac:dyDescent="0.25">
      <c r="A66" s="3" t="s">
        <v>16</v>
      </c>
      <c r="B66" s="4">
        <v>44480.695833333331</v>
      </c>
      <c r="C66" s="3">
        <f>(B66-$B$58)*24</f>
        <v>4.4888888889108784</v>
      </c>
      <c r="D66" s="3">
        <v>3</v>
      </c>
      <c r="E66" s="1">
        <v>0.10713135725874122</v>
      </c>
      <c r="F66" s="2">
        <v>76.75</v>
      </c>
      <c r="G66" s="2">
        <v>2.9620000000000002</v>
      </c>
      <c r="H66" s="2">
        <v>12.355</v>
      </c>
      <c r="I66" s="2">
        <v>24.05</v>
      </c>
      <c r="J66" s="2">
        <v>9.23</v>
      </c>
    </row>
    <row r="67" spans="1:10" x14ac:dyDescent="0.25">
      <c r="A67" s="3" t="s">
        <v>16</v>
      </c>
      <c r="B67" s="4">
        <v>44480.716666666667</v>
      </c>
      <c r="C67" s="3">
        <f t="shared" si="7"/>
        <v>4.9888888889690861</v>
      </c>
      <c r="D67" s="3">
        <v>3</v>
      </c>
      <c r="E67" s="1">
        <v>0.11001405033566432</v>
      </c>
      <c r="F67" s="2">
        <v>78.64</v>
      </c>
      <c r="G67" s="2">
        <v>3.0619999999999998</v>
      </c>
      <c r="H67" s="2">
        <v>12.371</v>
      </c>
      <c r="I67" s="2">
        <v>24.99</v>
      </c>
      <c r="J67" s="2">
        <v>9.15</v>
      </c>
    </row>
    <row r="68" spans="1:10" x14ac:dyDescent="0.25">
      <c r="A68" s="3" t="s">
        <v>16</v>
      </c>
      <c r="B68" s="4">
        <v>44480.737500000003</v>
      </c>
      <c r="C68" s="3">
        <f t="shared" si="7"/>
        <v>5.4888888890272938</v>
      </c>
      <c r="D68" s="3">
        <v>3</v>
      </c>
      <c r="E68" s="1">
        <v>0.12570871264335659</v>
      </c>
      <c r="F68" s="2">
        <v>82.18</v>
      </c>
      <c r="G68" s="2">
        <v>3.1560000000000001</v>
      </c>
      <c r="H68" s="2">
        <v>12.294</v>
      </c>
      <c r="I68" s="2">
        <v>25.81</v>
      </c>
      <c r="J68" s="2">
        <v>9.43</v>
      </c>
    </row>
    <row r="69" spans="1:10" x14ac:dyDescent="0.25">
      <c r="A69" s="3" t="s">
        <v>16</v>
      </c>
      <c r="B69" s="4">
        <v>44480.758333333331</v>
      </c>
      <c r="C69" s="3">
        <f t="shared" si="7"/>
        <v>5.9888888889108784</v>
      </c>
      <c r="D69" s="3">
        <v>3</v>
      </c>
      <c r="E69" s="1">
        <v>0.1275285946363636</v>
      </c>
      <c r="F69" s="2">
        <v>84.05</v>
      </c>
      <c r="G69" s="2">
        <v>2.9830000000000001</v>
      </c>
      <c r="H69" s="2">
        <v>12.429</v>
      </c>
      <c r="I69" s="2">
        <v>26.39</v>
      </c>
      <c r="J69" s="2">
        <v>9.3800000000000008</v>
      </c>
    </row>
    <row r="70" spans="1:10" x14ac:dyDescent="0.25">
      <c r="A70" s="3" t="s">
        <v>16</v>
      </c>
      <c r="B70" s="4">
        <v>44480.779166666667</v>
      </c>
      <c r="C70" s="3">
        <f t="shared" si="7"/>
        <v>6.4888888889690861</v>
      </c>
      <c r="D70" s="3">
        <v>3</v>
      </c>
      <c r="E70" s="1">
        <v>0.12830022460139859</v>
      </c>
    </row>
    <row r="71" spans="1:10" x14ac:dyDescent="0.25">
      <c r="A71" s="3" t="s">
        <v>17</v>
      </c>
      <c r="B71" s="4">
        <v>44481.515972222223</v>
      </c>
      <c r="C71" s="3">
        <f>(B71-$B$71)*24</f>
        <v>0</v>
      </c>
      <c r="D71" s="3">
        <v>3</v>
      </c>
      <c r="E71" s="1">
        <v>2.7720442517482442E-3</v>
      </c>
      <c r="F71">
        <v>32.06</v>
      </c>
      <c r="G71">
        <v>1.458</v>
      </c>
      <c r="H71">
        <v>12.808999999999999</v>
      </c>
      <c r="J71">
        <v>9.99</v>
      </c>
    </row>
    <row r="72" spans="1:10" x14ac:dyDescent="0.25">
      <c r="A72" s="3" t="s">
        <v>17</v>
      </c>
      <c r="B72" s="4">
        <v>44481.526388888888</v>
      </c>
      <c r="C72" s="3">
        <f t="shared" ref="C72:C79" si="8">(B72-$B$71)*24</f>
        <v>0.24999999994179234</v>
      </c>
      <c r="D72" s="3">
        <v>3</v>
      </c>
      <c r="E72" s="1">
        <v>3.3689655454545381E-3</v>
      </c>
      <c r="F72">
        <v>35.74</v>
      </c>
      <c r="G72">
        <v>1.3420000000000001</v>
      </c>
      <c r="H72">
        <v>12.526999999999999</v>
      </c>
      <c r="J72">
        <v>5.65</v>
      </c>
    </row>
    <row r="73" spans="1:10" x14ac:dyDescent="0.25">
      <c r="A73" s="3" t="s">
        <v>17</v>
      </c>
      <c r="B73" s="4">
        <v>44481.547222222223</v>
      </c>
      <c r="C73" s="3">
        <f t="shared" si="8"/>
        <v>0.75</v>
      </c>
      <c r="D73" s="3">
        <v>3</v>
      </c>
      <c r="E73" s="1">
        <v>2.4829014006993007E-2</v>
      </c>
      <c r="F73">
        <v>38.06</v>
      </c>
      <c r="G73">
        <v>1.494</v>
      </c>
      <c r="H73">
        <v>11.952999999999999</v>
      </c>
      <c r="I73">
        <v>19.5</v>
      </c>
      <c r="J73">
        <v>8.5399999999999991</v>
      </c>
    </row>
    <row r="74" spans="1:10" x14ac:dyDescent="0.25">
      <c r="A74" s="3" t="s">
        <v>17</v>
      </c>
      <c r="B74" s="4">
        <v>44481.568055555559</v>
      </c>
      <c r="C74" s="3">
        <f t="shared" si="8"/>
        <v>1.2500000000582077</v>
      </c>
      <c r="D74" s="3">
        <v>3</v>
      </c>
      <c r="E74" s="1">
        <v>4.195046379720279E-2</v>
      </c>
      <c r="F74">
        <v>38.299999999999997</v>
      </c>
      <c r="G74">
        <v>1.4419999999999999</v>
      </c>
      <c r="H74">
        <v>11.935</v>
      </c>
      <c r="I74">
        <v>19.43</v>
      </c>
      <c r="J74">
        <v>9.2899999999999991</v>
      </c>
    </row>
    <row r="75" spans="1:10" x14ac:dyDescent="0.25">
      <c r="A75" s="3" t="s">
        <v>17</v>
      </c>
      <c r="B75" s="4">
        <v>44481.620138888888</v>
      </c>
      <c r="C75" s="3">
        <f t="shared" si="8"/>
        <v>2.4999999999417923</v>
      </c>
      <c r="D75" s="3">
        <v>3</v>
      </c>
      <c r="E75" s="1">
        <v>8.0095190370629357E-2</v>
      </c>
      <c r="F75">
        <v>66.28</v>
      </c>
      <c r="G75">
        <v>1.61</v>
      </c>
      <c r="H75">
        <v>11.746</v>
      </c>
      <c r="I75">
        <v>20.16</v>
      </c>
      <c r="J75">
        <v>9.49</v>
      </c>
    </row>
    <row r="76" spans="1:10" x14ac:dyDescent="0.25">
      <c r="A76" s="3" t="s">
        <v>17</v>
      </c>
      <c r="B76" s="4">
        <v>44481.640972222223</v>
      </c>
      <c r="C76" s="3">
        <f t="shared" si="8"/>
        <v>3</v>
      </c>
      <c r="D76" s="3">
        <v>3</v>
      </c>
      <c r="E76" s="1">
        <v>9.0970805160839094E-2</v>
      </c>
      <c r="F76">
        <v>69.739999999999995</v>
      </c>
      <c r="G76">
        <v>1.706</v>
      </c>
      <c r="H76">
        <v>11.978999999999999</v>
      </c>
      <c r="I76">
        <v>21.49</v>
      </c>
      <c r="J76">
        <v>10.09</v>
      </c>
    </row>
    <row r="77" spans="1:10" x14ac:dyDescent="0.25">
      <c r="A77" s="3" t="s">
        <v>17</v>
      </c>
      <c r="B77" s="4">
        <v>44481.693055555559</v>
      </c>
      <c r="C77" s="3">
        <f t="shared" si="8"/>
        <v>4.2500000000582077</v>
      </c>
      <c r="D77" s="3">
        <v>3</v>
      </c>
      <c r="E77" s="1">
        <v>0.11368293243356642</v>
      </c>
      <c r="G77">
        <v>1.8169999999999999</v>
      </c>
      <c r="H77">
        <v>11.962</v>
      </c>
      <c r="I77">
        <v>23.36</v>
      </c>
      <c r="J77">
        <v>10.09</v>
      </c>
    </row>
    <row r="78" spans="1:10" x14ac:dyDescent="0.25">
      <c r="A78" s="3" t="s">
        <v>17</v>
      </c>
      <c r="B78" s="4">
        <v>44481.724305555559</v>
      </c>
      <c r="C78" s="3">
        <f t="shared" si="8"/>
        <v>5.0000000000582077</v>
      </c>
      <c r="D78" s="3">
        <v>3</v>
      </c>
      <c r="E78" s="1">
        <v>0.13629314631468531</v>
      </c>
      <c r="G78">
        <v>1.833</v>
      </c>
      <c r="H78">
        <v>11.852</v>
      </c>
      <c r="I78">
        <v>24.78</v>
      </c>
      <c r="J78">
        <v>10.24</v>
      </c>
    </row>
    <row r="79" spans="1:10" x14ac:dyDescent="0.25">
      <c r="A79" s="3" t="s">
        <v>17</v>
      </c>
      <c r="B79" s="4">
        <v>44482.401585648149</v>
      </c>
      <c r="C79" s="3">
        <f t="shared" si="8"/>
        <v>21.254722222220153</v>
      </c>
      <c r="D79" s="3">
        <v>3</v>
      </c>
      <c r="E79" s="1">
        <v>0.16910925841258739</v>
      </c>
      <c r="G79">
        <v>1.6919999999999999</v>
      </c>
      <c r="H79">
        <v>9.593</v>
      </c>
      <c r="I79">
        <v>48.34</v>
      </c>
      <c r="J79">
        <v>15.5</v>
      </c>
    </row>
    <row r="80" spans="1:10" x14ac:dyDescent="0.25">
      <c r="A80" s="3" t="s">
        <v>18</v>
      </c>
      <c r="B80" s="4">
        <v>44482.556250000001</v>
      </c>
      <c r="C80" s="3">
        <f>(B80-$B$80)*24</f>
        <v>0</v>
      </c>
      <c r="D80" s="3">
        <v>4</v>
      </c>
      <c r="E80" s="1">
        <v>2.1896820139860051E-3</v>
      </c>
      <c r="F80">
        <v>30.18</v>
      </c>
      <c r="G80">
        <v>1.155</v>
      </c>
      <c r="H80">
        <v>12.067</v>
      </c>
      <c r="J80">
        <v>8.0299999999999994</v>
      </c>
    </row>
    <row r="81" spans="1:10" x14ac:dyDescent="0.25">
      <c r="A81" s="3" t="s">
        <v>18</v>
      </c>
      <c r="B81" s="4">
        <v>44482.566666666666</v>
      </c>
      <c r="C81" s="3">
        <f t="shared" ref="C81:C91" si="9">(B81-$B$80)*24</f>
        <v>0.24999999994179234</v>
      </c>
      <c r="D81" s="3">
        <v>4</v>
      </c>
      <c r="E81" s="1">
        <v>7.8385957202797094E-3</v>
      </c>
      <c r="F81">
        <v>33.54</v>
      </c>
      <c r="G81">
        <v>1.236</v>
      </c>
      <c r="H81">
        <v>11.739000000000001</v>
      </c>
      <c r="I81">
        <v>18.97</v>
      </c>
      <c r="J81">
        <v>9.68</v>
      </c>
    </row>
    <row r="82" spans="1:10" x14ac:dyDescent="0.25">
      <c r="A82" s="3" t="s">
        <v>18</v>
      </c>
      <c r="B82" s="4">
        <v>44482.587500000001</v>
      </c>
      <c r="C82" s="3">
        <f t="shared" si="9"/>
        <v>0.75</v>
      </c>
      <c r="D82" s="3">
        <v>4</v>
      </c>
      <c r="E82" s="1">
        <v>2.5338580965034951E-2</v>
      </c>
      <c r="F82">
        <v>34.159999999999997</v>
      </c>
      <c r="G82">
        <v>1.3089999999999999</v>
      </c>
      <c r="H82">
        <v>11.664999999999999</v>
      </c>
      <c r="I82">
        <v>18.97</v>
      </c>
      <c r="J82">
        <v>10</v>
      </c>
    </row>
    <row r="83" spans="1:10" x14ac:dyDescent="0.25">
      <c r="A83" s="3" t="s">
        <v>18</v>
      </c>
      <c r="B83" s="4">
        <v>44482.60833333333</v>
      </c>
      <c r="C83" s="3">
        <f t="shared" si="9"/>
        <v>1.2499999998835847</v>
      </c>
      <c r="D83" s="3">
        <v>4</v>
      </c>
      <c r="E83" s="1">
        <v>3.7131416279720254E-2</v>
      </c>
      <c r="F83">
        <v>36.07</v>
      </c>
      <c r="G83">
        <v>1.379</v>
      </c>
      <c r="H83">
        <v>11.718999999999999</v>
      </c>
      <c r="I83">
        <v>20.03</v>
      </c>
      <c r="J83">
        <v>10.42</v>
      </c>
    </row>
    <row r="84" spans="1:10" x14ac:dyDescent="0.25">
      <c r="A84" s="3" t="s">
        <v>18</v>
      </c>
      <c r="B84" s="4">
        <v>44482.63958333333</v>
      </c>
      <c r="C84" s="3">
        <f t="shared" si="9"/>
        <v>1.9999999998835847</v>
      </c>
      <c r="D84" s="3">
        <v>4</v>
      </c>
      <c r="E84" s="1">
        <v>4.8647629531468485E-2</v>
      </c>
      <c r="F84">
        <v>36.04</v>
      </c>
      <c r="G84">
        <v>1.385</v>
      </c>
      <c r="H84">
        <v>11.422000000000001</v>
      </c>
      <c r="I84">
        <v>19.899999999999999</v>
      </c>
      <c r="J84">
        <v>10.29</v>
      </c>
    </row>
    <row r="85" spans="1:10" x14ac:dyDescent="0.25">
      <c r="A85" s="3" t="s">
        <v>18</v>
      </c>
      <c r="B85" s="4">
        <v>44482.660416666666</v>
      </c>
      <c r="C85" s="3">
        <f t="shared" si="9"/>
        <v>2.4999999999417923</v>
      </c>
      <c r="D85" s="3">
        <v>4</v>
      </c>
      <c r="E85" s="1">
        <v>5.3859771559440536E-2</v>
      </c>
      <c r="F85">
        <v>37.08</v>
      </c>
      <c r="G85">
        <v>1.37</v>
      </c>
      <c r="H85">
        <v>11.433</v>
      </c>
      <c r="I85">
        <v>20.93</v>
      </c>
      <c r="J85">
        <v>10.36</v>
      </c>
    </row>
    <row r="86" spans="1:10" x14ac:dyDescent="0.25">
      <c r="A86" s="3" t="s">
        <v>18</v>
      </c>
      <c r="B86" s="4">
        <v>44482.691666666666</v>
      </c>
      <c r="C86" s="3">
        <f t="shared" si="9"/>
        <v>3.2499999999417923</v>
      </c>
      <c r="D86" s="3">
        <v>4</v>
      </c>
      <c r="E86" s="1">
        <v>6.56089297062937E-2</v>
      </c>
      <c r="G86">
        <v>1.5229999999999999</v>
      </c>
      <c r="H86">
        <v>11.695</v>
      </c>
      <c r="I86">
        <v>21.14</v>
      </c>
      <c r="J86">
        <v>10.33</v>
      </c>
    </row>
    <row r="87" spans="1:10" x14ac:dyDescent="0.25">
      <c r="A87" s="3" t="s">
        <v>18</v>
      </c>
      <c r="B87" s="4">
        <v>44482.70208333333</v>
      </c>
      <c r="C87" s="3">
        <f t="shared" si="9"/>
        <v>3.4999999998835847</v>
      </c>
      <c r="D87" s="3">
        <v>4</v>
      </c>
      <c r="E87" s="1">
        <v>7.4926725510489484E-2</v>
      </c>
      <c r="G87">
        <v>1.6439999999999999</v>
      </c>
      <c r="H87">
        <v>11.579000000000001</v>
      </c>
      <c r="I87">
        <v>22.55</v>
      </c>
      <c r="J87">
        <v>10.64</v>
      </c>
    </row>
    <row r="88" spans="1:10" x14ac:dyDescent="0.25">
      <c r="A88" s="3" t="s">
        <v>18</v>
      </c>
      <c r="B88" s="4">
        <v>44482.73333333333</v>
      </c>
      <c r="C88" s="3">
        <f t="shared" si="9"/>
        <v>4.2499999998835847</v>
      </c>
      <c r="D88" s="3">
        <v>4</v>
      </c>
      <c r="E88" s="1">
        <v>8.5525718237762199E-2</v>
      </c>
      <c r="G88">
        <v>1.4419999999999999</v>
      </c>
      <c r="H88">
        <v>11.180999999999999</v>
      </c>
      <c r="J88">
        <v>9.93</v>
      </c>
    </row>
    <row r="89" spans="1:10" x14ac:dyDescent="0.25">
      <c r="A89" s="3" t="s">
        <v>18</v>
      </c>
      <c r="B89" s="4">
        <v>44482.76458333333</v>
      </c>
      <c r="C89" s="3">
        <f t="shared" si="9"/>
        <v>4.9999999998835847</v>
      </c>
      <c r="D89" s="3">
        <v>4</v>
      </c>
      <c r="E89" s="1">
        <v>0.1088493258601398</v>
      </c>
      <c r="G89">
        <v>1.63</v>
      </c>
      <c r="H89">
        <v>11.811999999999999</v>
      </c>
      <c r="J89">
        <v>10.69</v>
      </c>
    </row>
    <row r="90" spans="1:10" x14ac:dyDescent="0.25">
      <c r="A90" s="3" t="s">
        <v>18</v>
      </c>
      <c r="B90" s="4">
        <v>44482.806250000001</v>
      </c>
      <c r="C90" s="3">
        <f t="shared" si="9"/>
        <v>6</v>
      </c>
      <c r="D90" s="3">
        <v>4</v>
      </c>
      <c r="E90" s="1">
        <v>0.11141171970629368</v>
      </c>
    </row>
    <row r="91" spans="1:10" x14ac:dyDescent="0.25">
      <c r="A91" s="3" t="s">
        <v>18</v>
      </c>
      <c r="B91" s="4">
        <v>44483.379166666666</v>
      </c>
      <c r="C91" s="3">
        <f t="shared" si="9"/>
        <v>19.749999999941792</v>
      </c>
      <c r="D91" s="3">
        <v>4</v>
      </c>
      <c r="E91" s="1">
        <v>0.11695872002097904</v>
      </c>
      <c r="G91">
        <v>1.4490000000000001</v>
      </c>
      <c r="H91">
        <v>2.4790000000000001</v>
      </c>
      <c r="J91">
        <v>6.97</v>
      </c>
    </row>
    <row r="92" spans="1:10" x14ac:dyDescent="0.25">
      <c r="A92" s="3" t="s">
        <v>19</v>
      </c>
      <c r="B92" s="4">
        <v>44483.510416666664</v>
      </c>
      <c r="C92" s="3">
        <f>(B92-$B$92)*24</f>
        <v>0</v>
      </c>
      <c r="D92" s="3">
        <v>4</v>
      </c>
      <c r="E92" s="1">
        <v>2.4517450209790136E-3</v>
      </c>
      <c r="F92">
        <v>31.04</v>
      </c>
      <c r="G92">
        <v>1.1080000000000001</v>
      </c>
      <c r="H92">
        <v>12.96</v>
      </c>
      <c r="J92">
        <v>10.9</v>
      </c>
    </row>
    <row r="93" spans="1:10" x14ac:dyDescent="0.25">
      <c r="A93" s="3" t="s">
        <v>19</v>
      </c>
      <c r="B93" s="4">
        <v>44483.53125</v>
      </c>
      <c r="C93" s="3">
        <f>(B93-$B$92)*24</f>
        <v>0.50000000005820766</v>
      </c>
      <c r="D93" s="3">
        <v>4</v>
      </c>
      <c r="E93" s="1">
        <v>5.7275326083916014E-3</v>
      </c>
      <c r="F93">
        <v>34.43</v>
      </c>
      <c r="G93">
        <v>1.2509999999999999</v>
      </c>
      <c r="H93">
        <v>12.013</v>
      </c>
      <c r="I93">
        <v>19.43</v>
      </c>
      <c r="J93">
        <v>8.14</v>
      </c>
    </row>
    <row r="94" spans="1:10" x14ac:dyDescent="0.25">
      <c r="A94" s="3" t="s">
        <v>19</v>
      </c>
      <c r="B94" s="4">
        <v>44483.552083333336</v>
      </c>
      <c r="C94" s="3">
        <f t="shared" ref="C94:C102" si="10">(B94-$B$92)*24</f>
        <v>1.0000000001164153</v>
      </c>
      <c r="D94" s="3">
        <v>4</v>
      </c>
      <c r="E94" s="1">
        <v>2.9313203237762216E-2</v>
      </c>
      <c r="F94">
        <v>36.07</v>
      </c>
      <c r="G94">
        <v>1.353</v>
      </c>
      <c r="H94">
        <v>11.711</v>
      </c>
      <c r="I94">
        <v>19.21</v>
      </c>
      <c r="J94">
        <v>9.7200000000000006</v>
      </c>
    </row>
    <row r="95" spans="1:10" x14ac:dyDescent="0.25">
      <c r="A95" s="3" t="s">
        <v>19</v>
      </c>
      <c r="B95" s="4">
        <v>44483.572916666664</v>
      </c>
      <c r="C95" s="3">
        <f t="shared" si="10"/>
        <v>1.5</v>
      </c>
      <c r="D95" s="3">
        <v>4</v>
      </c>
      <c r="E95" s="1">
        <v>3.6636408377622373E-2</v>
      </c>
      <c r="F95">
        <v>35.92</v>
      </c>
      <c r="G95">
        <v>1.4610000000000001</v>
      </c>
      <c r="H95">
        <v>11.766999999999999</v>
      </c>
      <c r="I95">
        <v>19.760000000000002</v>
      </c>
      <c r="J95">
        <v>10.34</v>
      </c>
    </row>
    <row r="96" spans="1:10" x14ac:dyDescent="0.25">
      <c r="A96" s="3" t="s">
        <v>19</v>
      </c>
      <c r="B96" s="4">
        <v>44483.59375</v>
      </c>
      <c r="C96" s="3">
        <f t="shared" si="10"/>
        <v>2.0000000000582077</v>
      </c>
      <c r="D96" s="3">
        <v>4</v>
      </c>
      <c r="E96" s="1">
        <v>4.8778661034964997E-2</v>
      </c>
      <c r="F96">
        <v>37.36</v>
      </c>
      <c r="G96">
        <v>1.5269999999999999</v>
      </c>
      <c r="H96">
        <v>11.897</v>
      </c>
      <c r="I96">
        <v>20.03</v>
      </c>
      <c r="J96">
        <v>10.3</v>
      </c>
    </row>
    <row r="97" spans="1:10" x14ac:dyDescent="0.25">
      <c r="A97" s="3" t="s">
        <v>19</v>
      </c>
      <c r="B97" s="4">
        <v>44483.614583333336</v>
      </c>
      <c r="C97" s="3">
        <f t="shared" si="10"/>
        <v>2.5000000001164153</v>
      </c>
      <c r="D97" s="3">
        <v>4</v>
      </c>
      <c r="E97" s="1">
        <v>6.3774488657342643E-2</v>
      </c>
      <c r="G97">
        <v>1.605</v>
      </c>
      <c r="H97">
        <v>11.696</v>
      </c>
      <c r="I97">
        <v>21.27</v>
      </c>
      <c r="J97">
        <v>10.55</v>
      </c>
    </row>
    <row r="98" spans="1:10" x14ac:dyDescent="0.25">
      <c r="A98" s="3" t="s">
        <v>19</v>
      </c>
      <c r="B98" s="4">
        <v>44483.65625</v>
      </c>
      <c r="C98" s="3">
        <f t="shared" si="10"/>
        <v>3.5000000000582077</v>
      </c>
      <c r="D98" s="3">
        <v>4</v>
      </c>
      <c r="E98" s="1">
        <v>8.5380127678321649E-2</v>
      </c>
      <c r="G98">
        <v>1.6279999999999999</v>
      </c>
      <c r="H98">
        <v>12.026999999999999</v>
      </c>
      <c r="I98">
        <v>22.38</v>
      </c>
      <c r="J98">
        <v>11.09</v>
      </c>
    </row>
    <row r="99" spans="1:10" x14ac:dyDescent="0.25">
      <c r="A99" s="3" t="s">
        <v>19</v>
      </c>
      <c r="B99" s="4">
        <v>44483.697916666664</v>
      </c>
      <c r="C99" s="3">
        <f t="shared" si="10"/>
        <v>4.5</v>
      </c>
      <c r="D99" s="3">
        <v>4</v>
      </c>
      <c r="E99" s="1">
        <v>9.7653411839160792E-2</v>
      </c>
      <c r="G99">
        <v>1.8</v>
      </c>
      <c r="H99">
        <v>11.747999999999999</v>
      </c>
      <c r="I99">
        <v>22.66</v>
      </c>
      <c r="J99">
        <v>11.24</v>
      </c>
    </row>
    <row r="100" spans="1:10" x14ac:dyDescent="0.25">
      <c r="A100" s="3" t="s">
        <v>19</v>
      </c>
      <c r="B100" s="4">
        <v>44483.708333333336</v>
      </c>
      <c r="C100" s="3">
        <f t="shared" si="10"/>
        <v>4.7500000001164153</v>
      </c>
      <c r="D100" s="3">
        <v>4</v>
      </c>
      <c r="E100" s="1">
        <v>0.12062760211888107</v>
      </c>
      <c r="G100">
        <v>1.819</v>
      </c>
      <c r="H100">
        <v>11.537000000000001</v>
      </c>
      <c r="J100">
        <v>10.85</v>
      </c>
    </row>
    <row r="101" spans="1:10" x14ac:dyDescent="0.25">
      <c r="A101" s="3" t="s">
        <v>19</v>
      </c>
      <c r="B101" s="4">
        <v>44483.739583333336</v>
      </c>
      <c r="C101" s="3">
        <f t="shared" si="10"/>
        <v>5.5000000001164153</v>
      </c>
      <c r="D101" s="3">
        <v>4</v>
      </c>
      <c r="E101" s="1">
        <v>0.12780521669930064</v>
      </c>
      <c r="G101">
        <v>1.96</v>
      </c>
      <c r="H101">
        <v>12.132999999999999</v>
      </c>
      <c r="J101">
        <v>11.44</v>
      </c>
    </row>
    <row r="102" spans="1:10" x14ac:dyDescent="0.25">
      <c r="A102" s="3" t="s">
        <v>19</v>
      </c>
      <c r="B102" s="4">
        <v>44484.395833333336</v>
      </c>
      <c r="C102" s="3">
        <f t="shared" si="10"/>
        <v>21.250000000116415</v>
      </c>
      <c r="D102" s="3">
        <v>4</v>
      </c>
      <c r="E102" s="1">
        <v>0.15802981683916079</v>
      </c>
      <c r="G102">
        <v>1.5820000000000001</v>
      </c>
      <c r="H102">
        <v>8.6760000000000002</v>
      </c>
      <c r="J102">
        <v>13.93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0997A-9AEC-48BD-8091-7273BB001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Burgenson</dc:creator>
  <cp:lastModifiedBy>Justin Huang</cp:lastModifiedBy>
  <dcterms:created xsi:type="dcterms:W3CDTF">2021-10-07T00:07:58Z</dcterms:created>
  <dcterms:modified xsi:type="dcterms:W3CDTF">2025-12-08T08:34:15Z</dcterms:modified>
</cp:coreProperties>
</file>